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2026 Job Hunt Begins\Projects\"/>
    </mc:Choice>
  </mc:AlternateContent>
  <xr:revisionPtr revIDLastSave="0" documentId="13_ncr:1_{1C658018-BFEF-49BB-B978-5C8CF471A21B}" xr6:coauthVersionLast="47" xr6:coauthVersionMax="47" xr10:uidLastSave="{00000000-0000-0000-0000-000000000000}"/>
  <bookViews>
    <workbookView xWindow="28680" yWindow="-120" windowWidth="29040" windowHeight="15720" activeTab="1" xr2:uid="{00000000-000D-0000-FFFF-FFFF00000000}"/>
  </bookViews>
  <sheets>
    <sheet name="Risk Register" sheetId="1" r:id="rId1"/>
    <sheet name="Risk 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2" l="1"/>
  <c r="E8" i="2"/>
  <c r="D8" i="2"/>
  <c r="B8" i="2"/>
  <c r="C8" i="2" s="1"/>
  <c r="E7" i="2"/>
  <c r="D7" i="2"/>
  <c r="B7" i="2"/>
  <c r="E6" i="2"/>
  <c r="D6" i="2"/>
  <c r="B6" i="2"/>
  <c r="E5" i="2"/>
  <c r="D5" i="2"/>
  <c r="B5" i="2"/>
  <c r="I14" i="1"/>
  <c r="I13" i="1"/>
  <c r="I12" i="1"/>
  <c r="I11" i="1"/>
  <c r="I10" i="1"/>
  <c r="I9" i="1"/>
  <c r="I8" i="1"/>
  <c r="I7" i="1"/>
  <c r="I6" i="1"/>
  <c r="I5" i="1"/>
  <c r="I4" i="1"/>
  <c r="F5" i="2" l="1"/>
  <c r="B9" i="2"/>
  <c r="D9" i="2"/>
  <c r="C6" i="2"/>
  <c r="F7" i="2"/>
  <c r="C7" i="2"/>
  <c r="F6" i="2"/>
  <c r="F9" i="2"/>
  <c r="E9" i="2"/>
  <c r="C5" i="2"/>
  <c r="C9" i="2" l="1"/>
</calcChain>
</file>

<file path=xl/sharedStrings.xml><?xml version="1.0" encoding="utf-8"?>
<sst xmlns="http://schemas.openxmlformats.org/spreadsheetml/2006/main" count="249" uniqueCount="166">
  <si>
    <t>NORTHLINK COMMUNICATIONS — CYBER RISK REGISTER</t>
  </si>
  <si>
    <t>Prepared by: Kapil Chaudhary  |  Framework: ISO 27001:2022  |  Version: 1.1  |  Last Reviewed: June 2025</t>
  </si>
  <si>
    <t>Risk ID</t>
  </si>
  <si>
    <t>Risk Category</t>
  </si>
  <si>
    <t>Risk Description</t>
  </si>
  <si>
    <t>Affected Asset</t>
  </si>
  <si>
    <t>Department</t>
  </si>
  <si>
    <t>Risk Owner</t>
  </si>
  <si>
    <t>Likelihood (1-5)</t>
  </si>
  <si>
    <t>Impact (1-5)</t>
  </si>
  <si>
    <t>Risk Score (LxI)</t>
  </si>
  <si>
    <t>Risk Rating</t>
  </si>
  <si>
    <t>Existing Controls</t>
  </si>
  <si>
    <t>Treatment</t>
  </si>
  <si>
    <t>Recommended Action</t>
  </si>
  <si>
    <t>Status</t>
  </si>
  <si>
    <t>RISK-001</t>
  </si>
  <si>
    <t>Access Control</t>
  </si>
  <si>
    <t>Unauthorized access to satellite network management console due to shared admin credentials and no MFA enforcement.</t>
  </si>
  <si>
    <t>Network Management System</t>
  </si>
  <si>
    <t>IT / NOC</t>
  </si>
  <si>
    <t>NOC Manager</t>
  </si>
  <si>
    <t>Critical</t>
  </si>
  <si>
    <t>Basic password policy exists; no MFA deployed on management console.</t>
  </si>
  <si>
    <t>Mitigate</t>
  </si>
  <si>
    <t>Enforce MFA on all privileged accounts. Implement individual admin accounts. Review access quarterly. Aligns with ISO 27001 A.9.4.2.</t>
  </si>
  <si>
    <t>Open</t>
  </si>
  <si>
    <t>RISK-002</t>
  </si>
  <si>
    <t>Malware &amp; Ransomware</t>
  </si>
  <si>
    <t>Remote satellite sites running outdated firmware on Fortinet devices, increasing exposure to known CVEs and ransomware.</t>
  </si>
  <si>
    <t>Fortinet Firewalls (145 sites)</t>
  </si>
  <si>
    <t>Network Engineer</t>
  </si>
  <si>
    <t>Patch cycle exists but is informal; no automated patching. Some sites on firmware 6.x.</t>
  </si>
  <si>
    <t>Establish formal patch management policy. Schedule quarterly firmware updates. Track patch compliance per site. Aligns with ISO 27001 A.12.6.1.</t>
  </si>
  <si>
    <t>In Progress</t>
  </si>
  <si>
    <t>RISK-003</t>
  </si>
  <si>
    <t>Third-Party Risk</t>
  </si>
  <si>
    <t>Satellite equipment vendors have broad remote access to site hardware with no formal third-party access agreement or monitoring.</t>
  </si>
  <si>
    <t>Remote Site Hardware</t>
  </si>
  <si>
    <t>Operations</t>
  </si>
  <si>
    <t>Vendor Manager</t>
  </si>
  <si>
    <t>Vendor contracts exist. No third-party access log or formal SLA for security controls.</t>
  </si>
  <si>
    <t>Implement vendor access agreements with security requirements. Log all third-party sessions. Conduct annual vendor risk assessments. Aligns with ISO 27001 A.15.1.</t>
  </si>
  <si>
    <t>RISK-004</t>
  </si>
  <si>
    <t>Data Breach / Privacy</t>
  </si>
  <si>
    <t>Customer PII and billing data stored in on-premise database with no encryption at rest and minimal access controls.</t>
  </si>
  <si>
    <t>Customer Database</t>
  </si>
  <si>
    <t>IT Manager</t>
  </si>
  <si>
    <t>Database is behind firewall. No encryption at rest. Access not reviewed in 12+ months.</t>
  </si>
  <si>
    <t>Encrypt database at rest using AES-256. Implement role-based access control. Conduct quarterly access reviews. Aligns with ISO 27001 A.10.1, A.9.2.</t>
  </si>
  <si>
    <t>RISK-005</t>
  </si>
  <si>
    <t>Social Engineering</t>
  </si>
  <si>
    <t>NOC staff and field technicians lack formal security awareness training, increasing phishing and social engineering susceptibility.</t>
  </si>
  <si>
    <t>All Employees</t>
  </si>
  <si>
    <t>All Departments</t>
  </si>
  <si>
    <t>HR / Security Lead</t>
  </si>
  <si>
    <t>High</t>
  </si>
  <si>
    <t>No formal training program. Ad-hoc awareness emails sent occasionally.</t>
  </si>
  <si>
    <t>Deploy annual security awareness training. Run quarterly phishing simulations. Track completion rates. Aligns with ISO 27001 A.7.2.2.</t>
  </si>
  <si>
    <t>RISK-006</t>
  </si>
  <si>
    <t>Physical Security</t>
  </si>
  <si>
    <t>Remote satellite sites in northern/rural locations have no CCTV, minimal physical barriers, and no intrusion detection.</t>
  </si>
  <si>
    <t>Remote Site Physical Infrastructure</t>
  </si>
  <si>
    <t>Site Operations Manager</t>
  </si>
  <si>
    <t>Medium</t>
  </si>
  <si>
    <t>Sites are fenced. No cameras or intrusion alarms. Physical access logs not maintained.</t>
  </si>
  <si>
    <t>Accept</t>
  </si>
  <si>
    <t>Document accepted risk with business justification. Review annually. Consider CCTV for highest-risk sites. Aligns with ISO 27001 A.11.1.</t>
  </si>
  <si>
    <t>Under Review</t>
  </si>
  <si>
    <t>RISK-007</t>
  </si>
  <si>
    <t>Business Continuity</t>
  </si>
  <si>
    <t>No documented disaster recovery or business continuity plan exists for core NOC operations in event of major outage or incident.</t>
  </si>
  <si>
    <t>NOC Operations</t>
  </si>
  <si>
    <t>CTO</t>
  </si>
  <si>
    <t>Informal runbooks exist. No formal BCP/DRP tested or documented.</t>
  </si>
  <si>
    <t>Develop and document BCP and DRP. Conduct tabletop exercise annually. Define RTO/RPO targets. Aligns with ISO 27001 A.17.1.</t>
  </si>
  <si>
    <t>RISK-008</t>
  </si>
  <si>
    <t>Insider Threat</t>
  </si>
  <si>
    <t>Terminated employee accounts not disabled promptly; access reviews show 3 former staff with active VPN credentials.</t>
  </si>
  <si>
    <t>VPN / Remote Access</t>
  </si>
  <si>
    <t>HR Manager</t>
  </si>
  <si>
    <t>Offboarding checklist exists but not consistently followed. No automated deprovisioning.</t>
  </si>
  <si>
    <t>Implement automated account deprovisioning on termination. Conduct monthly access review. Tie offboarding to HR system. Aligns with ISO 27001 A.9.2.6.</t>
  </si>
  <si>
    <t>RISK-009</t>
  </si>
  <si>
    <t>Cloud Misconfiguration</t>
  </si>
  <si>
    <t>AWS S3 buckets used for log archival are publicly accessible due to misconfigured bucket policies.</t>
  </si>
  <si>
    <t>AWS Cloud Infrastructure</t>
  </si>
  <si>
    <t>IT</t>
  </si>
  <si>
    <t>Cloud Administrator</t>
  </si>
  <si>
    <t>Cloud environment in use. No CSPM tool deployed. Manual review only.</t>
  </si>
  <si>
    <t>Remediate S3 bucket permissions immediately. Deploy Cloud Security Posture Management (CSPM). Set SCPs to block public bucket creation. Aligns with ISO 27001 A.13.1.</t>
  </si>
  <si>
    <t>RISK-010</t>
  </si>
  <si>
    <t>Cryptographic Controls</t>
  </si>
  <si>
    <t>SSL certificates for customer portal and internal tools use SHA-1 and are approaching expiry with no automated renewal process.</t>
  </si>
  <si>
    <t>Customer Web Portal</t>
  </si>
  <si>
    <t>Web Administrator</t>
  </si>
  <si>
    <t>Certificates manually tracked in a spreadsheet. No automated expiry alerts.</t>
  </si>
  <si>
    <t>Migrate all certificates to SHA-256 or higher. Implement automated certificate lifecycle management. Set 60-day expiry alerts. Aligns with ISO 27001 A.10.1.1.</t>
  </si>
  <si>
    <t>RISK-011</t>
  </si>
  <si>
    <t>Information Security — Data Classification</t>
  </si>
  <si>
    <t>NOC engineer inadvertently shared network topology diagrams including all site IP ranges in an external Slack channel with a third-party vendor. No data classification policy or DLP tool exists.</t>
  </si>
  <si>
    <t>Network Architecture Documentation</t>
  </si>
  <si>
    <t>Slack audit logs available. No formal data classification policy or DLP in place.</t>
  </si>
  <si>
    <t>Develop and publish a Data Classification Policy defining Confidential, Internal, and Public tiers. Deliver targeted awareness training for NOC staff. Deploy DLP solution for collaboration tools. Aligns with ISO 27001 A.8.2, A.7.2.2.</t>
  </si>
  <si>
    <t>NORTHLINK COMMUNICATIONS — RISK SUMMARY</t>
  </si>
  <si>
    <t>Auto-calculated from Risk Register sheet. Import this file into Power BI for dashboard build.</t>
  </si>
  <si>
    <t>Rating</t>
  </si>
  <si>
    <t>Total Count</t>
  </si>
  <si>
    <t>% of Total</t>
  </si>
  <si>
    <t>Open Count</t>
  </si>
  <si>
    <t>Avg Risk Score</t>
  </si>
  <si>
    <t>Low</t>
  </si>
  <si>
    <t>TOTAL</t>
  </si>
  <si>
    <t>RISK-012</t>
  </si>
  <si>
    <t>Operations Security</t>
  </si>
  <si>
    <t>Incident Management</t>
  </si>
  <si>
    <t>Compliance</t>
  </si>
  <si>
    <t xml:space="preserve">Legacy billing system running on end-of-life Windows Server 2012 R2 with no security patches since October 2023. System processes customer billing and stores credit card data.  Migration delayed due to budget constraints. No compensating controls formally documented. </t>
  </si>
  <si>
    <t>Billing System / Customer Payment Data</t>
  </si>
  <si>
    <t>System Isolated from main network. Access restricted to VPN only. No formal documentation of compensating controls.</t>
  </si>
  <si>
    <t>Obtain formal signed risk acceptance from leadership with migration deadline commitment.  Develop legacy system decommsion plan with budget approval. Enable enhance logging and alerting on isolated system. Train staff to access only via VPN and only when necessary.  Aligns with ISO 270001 A.12.6.1,A18.1.4</t>
  </si>
  <si>
    <t>RISK-013</t>
  </si>
  <si>
    <t xml:space="preserve">NOC technician promoted to IT Admin role retains full NOC credentials in addition to new privileges. No formal access review process exists for internal role changes. Employee has unauthorized access to the systems outside current job scope - a case of privilege accumulation. </t>
  </si>
  <si>
    <t xml:space="preserve">NOC System / Network Infrastructure </t>
  </si>
  <si>
    <t xml:space="preserve">Centralized Audit logging in place. No automated alerting on anamalous access. No formal role-change access review process. </t>
  </si>
  <si>
    <t>Immediately revoke legacy NOC credentials for affected employee. Implement formal review process triggered by any role change or internal transfer. Conduct quaterly access recertification across all staff. Introduce principle of least privilege policy. Aligns with ISO 27001 A.9.2.2, A.9.2.5</t>
  </si>
  <si>
    <t>RISK-014</t>
  </si>
  <si>
    <t>Third-Party Risk / Supplier Risk</t>
  </si>
  <si>
    <t>Cloud Payroll vendor PayFlow Pro stores employees SIN numbers,salary details, and banking information in plain text. NorthLink has no visibility into vendor security controls, no SOC2 report on file, and vendor contract contains no security requirements clause.</t>
  </si>
  <si>
    <t>Employee Payroll Data / HR Systems</t>
  </si>
  <si>
    <t xml:space="preserve">Verbal agreement with vendor regarding data responsibility. No formal DPA in place. No security requirements in contract. No SOC 2 report requested or reviewed. </t>
  </si>
  <si>
    <t xml:space="preserve">Immediately demand PayFlow Pro encrypt all data at rest within 30 days or suspend contract. Execute a formal Data Processing Agreement specifying encryption, access controls, and breach notification obligations. Request current SOC 2 Type II report. Implement annual vendor risk assessment process for all vendors handling sensitive data.  Aligns with ISO 27001 A.15.2,A.15.2.1. PIPEDA breach notifications obligations noted. </t>
  </si>
  <si>
    <t>RISK-015</t>
  </si>
  <si>
    <t xml:space="preserve">Enterprise VPN solution used by 45 remote employees including NOC engineers contains a critical unpatched vulnerability with a publicly available exploit (CVE published 6 months ago, patch available 5 months ago). Successful exploitation could grant attacker access to all 145 satellite sites via lateral movement through NOC engineer credentials. </t>
  </si>
  <si>
    <t>VPN Infrastructure / Remote Access</t>
  </si>
  <si>
    <t>VPN access restricted to company-issued devices. Enterprise-grade VPN vendor in use. Critical patch available but unapplied for 5 months. No formal vulnerability management or patch prioritization process documented.</t>
  </si>
  <si>
    <t>Apply critical VPN patch on an emergency basis within 48 hours. Restrict VPN access to essential personnel only until patch is deployed. Implement formal vulnerabilty management policy with defined SLA's - critical CVEs patched within 72 hours, high within 30 days. Subscribe to vendor security advisories for proactive notification. Aligns with ISO 27001 A.12.6.1.</t>
  </si>
  <si>
    <t>RISK-016</t>
  </si>
  <si>
    <t>A phishing-related email account compromise occurred 3 months ago and was contained within 4 hours, but no formal Incident Response Plan exists at NorthLink. Response was improvised by IT Manager. No root cause analysis, incident report, or lessons-learned review was conducted following the event.</t>
  </si>
  <si>
    <t>Incident Response Process / Email Systems</t>
  </si>
  <si>
    <t>SIEM tool in place for anomaly detection. No documented Incident Response Plan. No formal post-incident review process.</t>
  </si>
  <si>
    <t>Conduct retrospective RCA on the prior phishing incident and document lessons learned. Develop and formally document an Incident Response Plan covering detection, containment, eradication, recovery, and post-incident review. Conduct a tabletop exercise to validate the plan. Aligns with ISO 27001 A.16.1.1, A.16.1.6.</t>
  </si>
  <si>
    <t>RISK-017</t>
  </si>
  <si>
    <t>NorthLink's password policy requires only 6 characters with no complexity requirements, no expiration, and no reuse restrictions. Internal review found 30% of employees using passwords found in public breach databases. No organization-wide password manager provided. MFA enforced only on select systems.</t>
  </si>
  <si>
    <t>Identity &amp; Access Management Systems</t>
  </si>
  <si>
    <t>VPN required for remote access but does not compensate for weak credential strength. No password manager provided. MFA enforced only on select systems, not organization-wide.</t>
  </si>
  <si>
    <t>Update password policy to minimum 10–12 characters with complexity requirements. Force organization-wide password reset under new policy. Enforce MFA across all systems, not just select ones. Procure and deploy an enterprise password manager (e.g., Bitwarden, Keeper) to reduce local credential storage and reuse. Aligns with ISO 27001 A.9.4.3, A.9.4.2. Credential stuffing risk noted given confirmed breach-database password matches.</t>
  </si>
  <si>
    <t>RISK-018</t>
  </si>
  <si>
    <t>Security logs across firewalls, VPN, and network management console retained for only 14 days before automatic overwrite. No centralized log aggregation — logs stored locally across 145 satellite sites. No active log review process exists. Multiple site devices found with logging disabled entirely due to uncorrected default configuration.</t>
  </si>
  <si>
    <t>Logging &amp; Monitoring Infrastructure</t>
  </si>
  <si>
    <t>Logs generated locally at most sites with 14-day retention. No centralized aggregation or SIEM correlation across sites. No active log review process. Logging confirmed disabled at multiple sites.</t>
  </si>
  <si>
    <t>Immediately enable logging at all sites where it is currently disabled. Deploy centralized log aggregation into a SIEM platform for cross-site correlation and active monitoring. Extend retention to a minimum of 90 days, aligned to compliance and forensic requirements. Establish a routine log review cadence, not just incident-triggered review. Aligns with ISO 27001 A.12.4.1, A.12.4.3.</t>
  </si>
  <si>
    <t>RISK-019</t>
  </si>
  <si>
    <t>Mobile Device Management / BYOD</t>
  </si>
  <si>
    <t>NorthLink permits BYOD access to corporate email, Slack, and internal documentation with no Mobile Device Management solution in place. Cannot enforce screen lock, remotely wipe lost devices, verify OS compliance, or separate corporate from personal data. Three employees have reported lost or stolen phones in the past year with no confirmation of data wipe status.</t>
  </si>
  <si>
    <t>Corporate Data on Personal Mobile Devices</t>
  </si>
  <si>
    <t>Manual record maintained of devices granted access to corporate resources. No technical enforcement — no remote wipe, no screen lock enforcement, no OS compliance verification, no corporate/personal data separation.</t>
  </si>
  <si>
    <t>Develop and publish a formal BYOD policy defining minimum security requirements prior to granting access. Deploy a Mobile Device Management solution (e.g., Microsoft Intune) to enforce policy, enable remote wipe, and verify compliance. Conduct retrospective risk assessment on the three previously reported lost/stolen devices. Aligns with ISO 27001 A.6.2.1, A.6.2.2.</t>
  </si>
  <si>
    <t>RISK-020</t>
  </si>
  <si>
    <t>NorthLink has never undergone a formal ISO 27001 audit, internal or external. No designated compliance owner exists — the CTO manages security informally alongside operational duties with no dedicated budget or time allocated. No systematic verification of control implementation has occurred. A potential client recently requested proof of security certification during contract negotiation, which NorthLink could not provide.</t>
  </si>
  <si>
    <t>Organizational Compliance Posture</t>
  </si>
  <si>
    <t>Internal security team conducts informal yearly security posture review. No formal audit (internal or external) has ever been conducted. No designated compliance owner or allocated budget for compliance activities.</t>
  </si>
  <si>
    <t>Appoint a designated compliance owner with defined responsibility and allocated budget. Conduct an internal ISO 27001 gap assessment to determine current control implementation status. Remediate highest-priority gaps identified. Engage an external auditor for formal certification once internal readiness is confirmed. Aligns with ISO 27001 A.18.2.1, A.18.2.2.</t>
  </si>
  <si>
    <t>Executive</t>
  </si>
  <si>
    <t>Finance</t>
  </si>
  <si>
    <t>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</si>
</sst>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6" x14ac:knownFonts="1">
    <font>
      <sz val="11"/>
      <color theme="1"/>
      <name val="Calibri"/>
      <family val="2"/>
      <scheme val="minor"/>
    </font>
    <font>
      <b/>
      <sz val="16"/>
      <color rgb="FFFAFAFA"/>
      <name val="Arial"/>
    </font>
    <font>
      <i/>
      <sz val="9"/>
      <color rgb="FFFAFAFA"/>
      <name val="Arial"/>
    </font>
    <font>
      <b/>
      <sz val="9"/>
      <color rgb="FFFAFAFA"/>
      <name val="Arial"/>
    </font>
    <font>
      <sz val="9"/>
      <color rgb="FF1A1A2E"/>
      <name val="Arial"/>
    </font>
    <font>
      <b/>
      <sz val="9"/>
      <color rgb="FF1A1A2E"/>
      <name val="Arial"/>
    </font>
    <font>
      <b/>
      <sz val="9"/>
      <color rgb="FFC0392B"/>
      <name val="Arial"/>
    </font>
    <font>
      <b/>
      <sz val="9"/>
      <color rgb="FF856404"/>
      <name val="Arial"/>
    </font>
    <font>
      <b/>
      <sz val="9"/>
      <color rgb="FF3949AB"/>
      <name val="Arial"/>
    </font>
    <font>
      <b/>
      <sz val="14"/>
      <color rgb="FFFAFAFA"/>
      <name val="Arial"/>
    </font>
    <font>
      <b/>
      <sz val="10"/>
      <color rgb="FFFAFAFA"/>
      <name val="Arial"/>
    </font>
    <font>
      <sz val="10"/>
      <color rgb="FF1A1A2E"/>
      <name val="Arial"/>
    </font>
    <font>
      <sz val="9"/>
      <color rgb="FF1A1A2E"/>
      <name val="Arial"/>
      <family val="2"/>
    </font>
    <font>
      <b/>
      <sz val="9"/>
      <color rgb="FFFAFAFA"/>
      <name val="Arial"/>
      <family val="2"/>
    </font>
    <font>
      <sz val="10"/>
      <color theme="1"/>
      <name val="Arial"/>
      <family val="2"/>
    </font>
    <font>
      <b/>
      <sz val="9"/>
      <color rgb="FFC0392B"/>
      <name val="Arial"/>
      <family val="2"/>
    </font>
  </fonts>
  <fills count="14">
    <fill>
      <patternFill patternType="none"/>
    </fill>
    <fill>
      <patternFill patternType="gray125"/>
    </fill>
    <fill>
      <patternFill patternType="solid">
        <fgColor rgb="FF1A1A2E"/>
        <bgColor rgb="FF1A1A2E"/>
      </patternFill>
    </fill>
    <fill>
      <patternFill patternType="solid">
        <fgColor rgb="FFC0392B"/>
        <bgColor rgb="FFC0392B"/>
      </patternFill>
    </fill>
    <fill>
      <patternFill patternType="solid">
        <fgColor rgb="FFFFFFFF"/>
        <bgColor rgb="FFFFFFFF"/>
      </patternFill>
    </fill>
    <fill>
      <patternFill patternType="solid">
        <fgColor rgb="FFFDE8E8"/>
        <bgColor rgb="FFFDE8E8"/>
      </patternFill>
    </fill>
    <fill>
      <patternFill patternType="solid">
        <fgColor rgb="FFF7F4EE"/>
        <bgColor rgb="FFF7F4EE"/>
      </patternFill>
    </fill>
    <fill>
      <patternFill patternType="solid">
        <fgColor rgb="FFFFF3CD"/>
        <bgColor rgb="FFFFF3CD"/>
      </patternFill>
    </fill>
    <fill>
      <patternFill patternType="solid">
        <fgColor rgb="FFE67E22"/>
        <bgColor rgb="FFE67E22"/>
      </patternFill>
    </fill>
    <fill>
      <patternFill patternType="solid">
        <fgColor rgb="FFD4A800"/>
        <bgColor rgb="FFD4A800"/>
      </patternFill>
    </fill>
    <fill>
      <patternFill patternType="solid">
        <fgColor rgb="FFE8EAF6"/>
        <bgColor rgb="FFE8EAF6"/>
      </patternFill>
    </fill>
    <fill>
      <patternFill patternType="solid">
        <fgColor rgb="FF27AE60"/>
        <bgColor rgb="FF27AE60"/>
      </patternFill>
    </fill>
    <fill>
      <patternFill patternType="solid">
        <fgColor rgb="FFC0392B"/>
        <bgColor rgb="FFE67E22"/>
      </patternFill>
    </fill>
    <fill>
      <patternFill patternType="solid">
        <fgColor theme="0"/>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s>
  <cellStyleXfs count="1">
    <xf numFmtId="0" fontId="0" fillId="0" borderId="0"/>
  </cellStyleXfs>
  <cellXfs count="37">
    <xf numFmtId="0" fontId="0" fillId="0" borderId="0" xfId="0"/>
    <xf numFmtId="0" fontId="10"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5" fontId="11" fillId="0" borderId="1" xfId="0" applyNumberFormat="1" applyFont="1" applyBorder="1" applyAlignment="1">
      <alignment horizontal="center" vertical="center" wrapText="1"/>
    </xf>
    <xf numFmtId="0" fontId="10" fillId="8"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164" fontId="10" fillId="2" borderId="1" xfId="0" applyNumberFormat="1" applyFont="1" applyFill="1" applyBorder="1" applyAlignment="1">
      <alignment horizontal="center" vertical="center" wrapText="1"/>
    </xf>
    <xf numFmtId="165" fontId="10" fillId="2" borderId="1" xfId="0" applyNumberFormat="1"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5" fillId="4" borderId="2"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0" fillId="0" borderId="2" xfId="0" applyBorder="1"/>
    <xf numFmtId="0" fontId="3" fillId="2" borderId="3"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6" borderId="2" xfId="0" applyFont="1" applyFill="1" applyBorder="1" applyAlignment="1">
      <alignment horizontal="left" vertical="center" wrapText="1"/>
    </xf>
    <xf numFmtId="0" fontId="5" fillId="6" borderId="2"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8" fillId="10" borderId="2"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3" fillId="12" borderId="2" xfId="0" applyFont="1" applyFill="1" applyBorder="1" applyAlignment="1">
      <alignment horizontal="center" vertical="center" wrapText="1"/>
    </xf>
    <xf numFmtId="0" fontId="12" fillId="4" borderId="2" xfId="0" applyFont="1" applyFill="1" applyBorder="1" applyAlignment="1">
      <alignment horizontal="left" vertical="center" wrapText="1"/>
    </xf>
    <xf numFmtId="0" fontId="14" fillId="0" borderId="0" xfId="0" applyFont="1" applyAlignment="1">
      <alignment wrapText="1"/>
    </xf>
    <xf numFmtId="0" fontId="15" fillId="5" borderId="2" xfId="0" applyFont="1" applyFill="1" applyBorder="1" applyAlignment="1">
      <alignment horizontal="center" vertical="center" wrapText="1"/>
    </xf>
    <xf numFmtId="0" fontId="12" fillId="6" borderId="2" xfId="0" applyFont="1" applyFill="1" applyBorder="1" applyAlignment="1">
      <alignment horizontal="center" vertical="center" wrapText="1"/>
    </xf>
    <xf numFmtId="0" fontId="14" fillId="13" borderId="0" xfId="0" applyFont="1" applyFill="1" applyAlignment="1">
      <alignment wrapText="1"/>
    </xf>
    <xf numFmtId="0" fontId="2" fillId="3"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wrapText="1"/>
    </xf>
    <xf numFmtId="0" fontId="9"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colors>
    <mruColors>
      <color rgb="FFC039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iskRegister" displayName="RiskRegister" ref="A3:N23">
  <autoFilter ref="A3:N23" xr:uid="{00000000-0009-0000-0100-000001000000}"/>
  <tableColumns count="14">
    <tableColumn id="1" xr3:uid="{00000000-0010-0000-0000-000001000000}" name="Risk ID"/>
    <tableColumn id="2" xr3:uid="{00000000-0010-0000-0000-000002000000}" name="Risk Category"/>
    <tableColumn id="3" xr3:uid="{00000000-0010-0000-0000-000003000000}" name="Risk Description"/>
    <tableColumn id="4" xr3:uid="{00000000-0010-0000-0000-000004000000}" name="Affected Asset"/>
    <tableColumn id="5" xr3:uid="{00000000-0010-0000-0000-000005000000}" name="Department"/>
    <tableColumn id="6" xr3:uid="{00000000-0010-0000-0000-000006000000}" name="Risk Owner"/>
    <tableColumn id="7" xr3:uid="{00000000-0010-0000-0000-000007000000}" name="Likelihood (1-5)"/>
    <tableColumn id="8" xr3:uid="{00000000-0010-0000-0000-000008000000}" name="Impact (1-5)"/>
    <tableColumn id="9" xr3:uid="{00000000-0010-0000-0000-000009000000}" name="Risk Score (LxI)"/>
    <tableColumn id="10" xr3:uid="{00000000-0010-0000-0000-00000A000000}" name="Risk Rating"/>
    <tableColumn id="11" xr3:uid="{00000000-0010-0000-0000-00000B000000}" name="Existing Controls"/>
    <tableColumn id="12" xr3:uid="{00000000-0010-0000-0000-00000C000000}" name="Treatment"/>
    <tableColumn id="13" xr3:uid="{00000000-0010-0000-0000-00000D000000}" name="Recommended Action"/>
    <tableColumn id="14" xr3:uid="{00000000-0010-0000-0000-00000E000000}"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9"/>
  <sheetViews>
    <sheetView zoomScale="96" zoomScaleNormal="96" workbookViewId="0">
      <pane ySplit="3" topLeftCell="A22" activePane="bottomLeft" state="frozen"/>
      <selection pane="bottomLeft" activeCell="E22" sqref="E22"/>
    </sheetView>
  </sheetViews>
  <sheetFormatPr defaultRowHeight="14.4" x14ac:dyDescent="0.3"/>
  <cols>
    <col min="1" max="1" width="11" customWidth="1"/>
    <col min="2" max="2" width="20" customWidth="1"/>
    <col min="3" max="3" width="40" customWidth="1"/>
    <col min="4" max="4" width="22" customWidth="1"/>
    <col min="5" max="5" width="16" customWidth="1"/>
    <col min="6" max="6" width="18" customWidth="1"/>
    <col min="7" max="10" width="13" customWidth="1"/>
    <col min="11" max="11" width="32" customWidth="1"/>
    <col min="12" max="12" width="13" customWidth="1"/>
    <col min="13" max="13" width="38" customWidth="1"/>
    <col min="14" max="14" width="14" customWidth="1"/>
  </cols>
  <sheetData>
    <row r="1" spans="1:14" ht="38.1" customHeight="1" x14ac:dyDescent="0.3">
      <c r="A1" s="35" t="s">
        <v>0</v>
      </c>
      <c r="B1" s="34"/>
      <c r="C1" s="34"/>
      <c r="D1" s="34"/>
      <c r="E1" s="34"/>
      <c r="F1" s="34"/>
      <c r="G1" s="34"/>
      <c r="H1" s="34"/>
      <c r="I1" s="34"/>
      <c r="J1" s="34"/>
      <c r="K1" s="34"/>
      <c r="L1" s="34"/>
      <c r="M1" s="34"/>
      <c r="N1" s="34"/>
    </row>
    <row r="2" spans="1:14" ht="20.100000000000001" customHeight="1" x14ac:dyDescent="0.3">
      <c r="A2" s="33" t="s">
        <v>1</v>
      </c>
      <c r="B2" s="34"/>
      <c r="C2" s="34"/>
      <c r="D2" s="34"/>
      <c r="E2" s="34"/>
      <c r="F2" s="34"/>
      <c r="G2" s="34"/>
      <c r="H2" s="34"/>
      <c r="I2" s="34"/>
      <c r="J2" s="34"/>
      <c r="K2" s="34"/>
      <c r="L2" s="34"/>
      <c r="M2" s="34"/>
      <c r="N2" s="34"/>
    </row>
    <row r="3" spans="1:14" ht="30" customHeight="1" x14ac:dyDescent="0.3">
      <c r="A3" s="17" t="s">
        <v>2</v>
      </c>
      <c r="B3" s="17" t="s">
        <v>3</v>
      </c>
      <c r="C3" s="17" t="s">
        <v>4</v>
      </c>
      <c r="D3" s="17" t="s">
        <v>5</v>
      </c>
      <c r="E3" s="17" t="s">
        <v>6</v>
      </c>
      <c r="F3" s="17" t="s">
        <v>7</v>
      </c>
      <c r="G3" s="17" t="s">
        <v>8</v>
      </c>
      <c r="H3" s="17" t="s">
        <v>9</v>
      </c>
      <c r="I3" s="17" t="s">
        <v>10</v>
      </c>
      <c r="J3" s="17" t="s">
        <v>11</v>
      </c>
      <c r="K3" s="17" t="s">
        <v>12</v>
      </c>
      <c r="L3" s="17" t="s">
        <v>13</v>
      </c>
      <c r="M3" s="17" t="s">
        <v>14</v>
      </c>
      <c r="N3" s="17" t="s">
        <v>15</v>
      </c>
    </row>
    <row r="4" spans="1:14" ht="54.9" customHeight="1" x14ac:dyDescent="0.3">
      <c r="A4" s="11" t="s">
        <v>16</v>
      </c>
      <c r="B4" s="11" t="s">
        <v>17</v>
      </c>
      <c r="C4" s="12" t="s">
        <v>18</v>
      </c>
      <c r="D4" s="11" t="s">
        <v>19</v>
      </c>
      <c r="E4" s="11" t="s">
        <v>20</v>
      </c>
      <c r="F4" s="11" t="s">
        <v>21</v>
      </c>
      <c r="G4" s="11">
        <v>4</v>
      </c>
      <c r="H4" s="11">
        <v>5</v>
      </c>
      <c r="I4" s="13">
        <f t="shared" ref="I4:I14" si="0">G4*H4</f>
        <v>20</v>
      </c>
      <c r="J4" s="18" t="s">
        <v>22</v>
      </c>
      <c r="K4" s="12" t="s">
        <v>23</v>
      </c>
      <c r="L4" s="11" t="s">
        <v>24</v>
      </c>
      <c r="M4" s="12" t="s">
        <v>25</v>
      </c>
      <c r="N4" s="15" t="s">
        <v>26</v>
      </c>
    </row>
    <row r="5" spans="1:14" ht="54.9" customHeight="1" x14ac:dyDescent="0.3">
      <c r="A5" s="19" t="s">
        <v>27</v>
      </c>
      <c r="B5" s="31" t="s">
        <v>28</v>
      </c>
      <c r="C5" s="20" t="s">
        <v>29</v>
      </c>
      <c r="D5" s="19" t="s">
        <v>30</v>
      </c>
      <c r="E5" s="11" t="s">
        <v>20</v>
      </c>
      <c r="F5" s="19" t="s">
        <v>31</v>
      </c>
      <c r="G5" s="19">
        <v>4</v>
      </c>
      <c r="H5" s="19">
        <v>4</v>
      </c>
      <c r="I5" s="21">
        <f t="shared" si="0"/>
        <v>16</v>
      </c>
      <c r="J5" s="18" t="s">
        <v>22</v>
      </c>
      <c r="K5" s="20" t="s">
        <v>32</v>
      </c>
      <c r="L5" s="19" t="s">
        <v>24</v>
      </c>
      <c r="M5" s="20" t="s">
        <v>33</v>
      </c>
      <c r="N5" s="22" t="s">
        <v>34</v>
      </c>
    </row>
    <row r="6" spans="1:14" ht="54.9" customHeight="1" x14ac:dyDescent="0.3">
      <c r="A6" s="11" t="s">
        <v>35</v>
      </c>
      <c r="B6" s="11" t="s">
        <v>36</v>
      </c>
      <c r="C6" s="12" t="s">
        <v>37</v>
      </c>
      <c r="D6" s="11" t="s">
        <v>38</v>
      </c>
      <c r="E6" s="11" t="s">
        <v>39</v>
      </c>
      <c r="F6" s="11" t="s">
        <v>40</v>
      </c>
      <c r="G6" s="11">
        <v>3</v>
      </c>
      <c r="H6" s="11">
        <v>5</v>
      </c>
      <c r="I6" s="13">
        <f t="shared" si="0"/>
        <v>15</v>
      </c>
      <c r="J6" s="18" t="s">
        <v>22</v>
      </c>
      <c r="K6" s="12" t="s">
        <v>41</v>
      </c>
      <c r="L6" s="11" t="s">
        <v>24</v>
      </c>
      <c r="M6" s="12" t="s">
        <v>42</v>
      </c>
      <c r="N6" s="15" t="s">
        <v>26</v>
      </c>
    </row>
    <row r="7" spans="1:14" ht="54.9" customHeight="1" x14ac:dyDescent="0.3">
      <c r="A7" s="19" t="s">
        <v>43</v>
      </c>
      <c r="B7" s="19" t="s">
        <v>44</v>
      </c>
      <c r="C7" s="20" t="s">
        <v>45</v>
      </c>
      <c r="D7" s="19" t="s">
        <v>46</v>
      </c>
      <c r="E7" s="19" t="s">
        <v>164</v>
      </c>
      <c r="F7" s="19" t="s">
        <v>47</v>
      </c>
      <c r="G7" s="19">
        <v>3</v>
      </c>
      <c r="H7" s="19">
        <v>5</v>
      </c>
      <c r="I7" s="21">
        <f t="shared" si="0"/>
        <v>15</v>
      </c>
      <c r="J7" s="18" t="s">
        <v>22</v>
      </c>
      <c r="K7" s="20" t="s">
        <v>48</v>
      </c>
      <c r="L7" s="19" t="s">
        <v>24</v>
      </c>
      <c r="M7" s="20" t="s">
        <v>49</v>
      </c>
      <c r="N7" s="15" t="s">
        <v>26</v>
      </c>
    </row>
    <row r="8" spans="1:14" ht="54.9" customHeight="1" x14ac:dyDescent="0.3">
      <c r="A8" s="11" t="s">
        <v>50</v>
      </c>
      <c r="B8" s="11" t="s">
        <v>51</v>
      </c>
      <c r="C8" s="12" t="s">
        <v>52</v>
      </c>
      <c r="D8" s="11" t="s">
        <v>53</v>
      </c>
      <c r="E8" s="11" t="s">
        <v>54</v>
      </c>
      <c r="F8" s="11" t="s">
        <v>55</v>
      </c>
      <c r="G8" s="11">
        <v>4</v>
      </c>
      <c r="H8" s="11">
        <v>3</v>
      </c>
      <c r="I8" s="13">
        <f t="shared" si="0"/>
        <v>12</v>
      </c>
      <c r="J8" s="14" t="s">
        <v>56</v>
      </c>
      <c r="K8" s="12" t="s">
        <v>57</v>
      </c>
      <c r="L8" s="11" t="s">
        <v>24</v>
      </c>
      <c r="M8" s="12" t="s">
        <v>58</v>
      </c>
      <c r="N8" s="15" t="s">
        <v>26</v>
      </c>
    </row>
    <row r="9" spans="1:14" ht="54.9" customHeight="1" x14ac:dyDescent="0.3">
      <c r="A9" s="19" t="s">
        <v>59</v>
      </c>
      <c r="B9" s="19" t="s">
        <v>60</v>
      </c>
      <c r="C9" s="20" t="s">
        <v>61</v>
      </c>
      <c r="D9" s="19" t="s">
        <v>62</v>
      </c>
      <c r="E9" s="19" t="s">
        <v>39</v>
      </c>
      <c r="F9" s="19" t="s">
        <v>63</v>
      </c>
      <c r="G9" s="19">
        <v>2</v>
      </c>
      <c r="H9" s="19">
        <v>4</v>
      </c>
      <c r="I9" s="21">
        <f t="shared" si="0"/>
        <v>8</v>
      </c>
      <c r="J9" s="23" t="s">
        <v>64</v>
      </c>
      <c r="K9" s="20" t="s">
        <v>65</v>
      </c>
      <c r="L9" s="19" t="s">
        <v>66</v>
      </c>
      <c r="M9" s="20" t="s">
        <v>67</v>
      </c>
      <c r="N9" s="24" t="s">
        <v>68</v>
      </c>
    </row>
    <row r="10" spans="1:14" ht="54.9" customHeight="1" x14ac:dyDescent="0.3">
      <c r="A10" s="11" t="s">
        <v>69</v>
      </c>
      <c r="B10" s="11" t="s">
        <v>70</v>
      </c>
      <c r="C10" s="12" t="s">
        <v>71</v>
      </c>
      <c r="D10" s="11" t="s">
        <v>72</v>
      </c>
      <c r="E10" s="11" t="s">
        <v>87</v>
      </c>
      <c r="F10" s="11" t="s">
        <v>73</v>
      </c>
      <c r="G10" s="11">
        <v>3</v>
      </c>
      <c r="H10" s="11">
        <v>5</v>
      </c>
      <c r="I10" s="13">
        <f t="shared" si="0"/>
        <v>15</v>
      </c>
      <c r="J10" s="18" t="s">
        <v>22</v>
      </c>
      <c r="K10" s="12" t="s">
        <v>74</v>
      </c>
      <c r="L10" s="11" t="s">
        <v>24</v>
      </c>
      <c r="M10" s="12" t="s">
        <v>75</v>
      </c>
      <c r="N10" s="15" t="s">
        <v>26</v>
      </c>
    </row>
    <row r="11" spans="1:14" ht="54.9" customHeight="1" x14ac:dyDescent="0.3">
      <c r="A11" s="19" t="s">
        <v>76</v>
      </c>
      <c r="B11" s="19" t="s">
        <v>77</v>
      </c>
      <c r="C11" s="20" t="s">
        <v>78</v>
      </c>
      <c r="D11" s="19" t="s">
        <v>79</v>
      </c>
      <c r="E11" s="19" t="s">
        <v>87</v>
      </c>
      <c r="F11" s="19" t="s">
        <v>80</v>
      </c>
      <c r="G11" s="19">
        <v>3</v>
      </c>
      <c r="H11" s="19">
        <v>4</v>
      </c>
      <c r="I11" s="21">
        <f t="shared" si="0"/>
        <v>12</v>
      </c>
      <c r="J11" s="14" t="s">
        <v>56</v>
      </c>
      <c r="K11" s="20" t="s">
        <v>81</v>
      </c>
      <c r="L11" s="19" t="s">
        <v>24</v>
      </c>
      <c r="M11" s="20" t="s">
        <v>82</v>
      </c>
      <c r="N11" s="22" t="s">
        <v>34</v>
      </c>
    </row>
    <row r="12" spans="1:14" ht="54.9" customHeight="1" x14ac:dyDescent="0.3">
      <c r="A12" s="11" t="s">
        <v>83</v>
      </c>
      <c r="B12" s="11" t="s">
        <v>84</v>
      </c>
      <c r="C12" s="12" t="s">
        <v>85</v>
      </c>
      <c r="D12" s="11" t="s">
        <v>86</v>
      </c>
      <c r="E12" s="11" t="s">
        <v>87</v>
      </c>
      <c r="F12" s="11" t="s">
        <v>88</v>
      </c>
      <c r="G12" s="11">
        <v>2</v>
      </c>
      <c r="H12" s="11">
        <v>4</v>
      </c>
      <c r="I12" s="13">
        <f t="shared" si="0"/>
        <v>8</v>
      </c>
      <c r="J12" s="23" t="s">
        <v>64</v>
      </c>
      <c r="K12" s="12" t="s">
        <v>89</v>
      </c>
      <c r="L12" s="11" t="s">
        <v>24</v>
      </c>
      <c r="M12" s="12" t="s">
        <v>90</v>
      </c>
      <c r="N12" s="15" t="s">
        <v>26</v>
      </c>
    </row>
    <row r="13" spans="1:14" ht="54.9" customHeight="1" x14ac:dyDescent="0.3">
      <c r="A13" s="19" t="s">
        <v>91</v>
      </c>
      <c r="B13" s="19" t="s">
        <v>92</v>
      </c>
      <c r="C13" s="20" t="s">
        <v>93</v>
      </c>
      <c r="D13" s="19" t="s">
        <v>94</v>
      </c>
      <c r="E13" s="19" t="s">
        <v>87</v>
      </c>
      <c r="F13" s="19" t="s">
        <v>95</v>
      </c>
      <c r="G13" s="19">
        <v>3</v>
      </c>
      <c r="H13" s="19">
        <v>3</v>
      </c>
      <c r="I13" s="21">
        <f t="shared" si="0"/>
        <v>9</v>
      </c>
      <c r="J13" s="23" t="s">
        <v>64</v>
      </c>
      <c r="K13" s="20" t="s">
        <v>96</v>
      </c>
      <c r="L13" s="19" t="s">
        <v>24</v>
      </c>
      <c r="M13" s="20" t="s">
        <v>97</v>
      </c>
      <c r="N13" s="22" t="s">
        <v>34</v>
      </c>
    </row>
    <row r="14" spans="1:14" ht="54.9" customHeight="1" x14ac:dyDescent="0.3">
      <c r="A14" s="11" t="s">
        <v>98</v>
      </c>
      <c r="B14" s="11" t="s">
        <v>99</v>
      </c>
      <c r="C14" s="12" t="s">
        <v>100</v>
      </c>
      <c r="D14" s="11" t="s">
        <v>101</v>
      </c>
      <c r="E14" s="11" t="s">
        <v>20</v>
      </c>
      <c r="F14" s="11" t="s">
        <v>21</v>
      </c>
      <c r="G14" s="11">
        <v>3</v>
      </c>
      <c r="H14" s="11">
        <v>4</v>
      </c>
      <c r="I14" s="13">
        <f t="shared" si="0"/>
        <v>12</v>
      </c>
      <c r="J14" s="14" t="s">
        <v>56</v>
      </c>
      <c r="K14" s="12" t="s">
        <v>102</v>
      </c>
      <c r="L14" s="11" t="s">
        <v>24</v>
      </c>
      <c r="M14" s="12" t="s">
        <v>103</v>
      </c>
      <c r="N14" s="15" t="s">
        <v>26</v>
      </c>
    </row>
    <row r="15" spans="1:14" ht="79.8" x14ac:dyDescent="0.3">
      <c r="A15" s="11" t="s">
        <v>113</v>
      </c>
      <c r="B15" s="11" t="s">
        <v>114</v>
      </c>
      <c r="C15" s="12" t="s">
        <v>117</v>
      </c>
      <c r="D15" s="11" t="s">
        <v>118</v>
      </c>
      <c r="E15" s="11" t="s">
        <v>164</v>
      </c>
      <c r="F15" s="11" t="s">
        <v>47</v>
      </c>
      <c r="G15" s="11">
        <v>5</v>
      </c>
      <c r="H15" s="11">
        <v>5</v>
      </c>
      <c r="I15" s="13">
        <v>25</v>
      </c>
      <c r="J15" s="25" t="s">
        <v>22</v>
      </c>
      <c r="K15" s="12" t="s">
        <v>119</v>
      </c>
      <c r="L15" s="11" t="s">
        <v>24</v>
      </c>
      <c r="M15" s="12" t="s">
        <v>120</v>
      </c>
      <c r="N15" s="15" t="s">
        <v>26</v>
      </c>
    </row>
    <row r="16" spans="1:14" ht="79.8" x14ac:dyDescent="0.3">
      <c r="A16" s="11" t="s">
        <v>121</v>
      </c>
      <c r="B16" s="11" t="s">
        <v>17</v>
      </c>
      <c r="C16" s="12" t="s">
        <v>122</v>
      </c>
      <c r="D16" s="11" t="s">
        <v>123</v>
      </c>
      <c r="E16" s="11" t="s">
        <v>87</v>
      </c>
      <c r="F16" s="11" t="s">
        <v>47</v>
      </c>
      <c r="G16" s="11">
        <v>3</v>
      </c>
      <c r="H16" s="11">
        <v>4</v>
      </c>
      <c r="I16" s="13">
        <v>12</v>
      </c>
      <c r="J16" s="14" t="s">
        <v>56</v>
      </c>
      <c r="K16" s="12" t="s">
        <v>124</v>
      </c>
      <c r="L16" s="11" t="s">
        <v>24</v>
      </c>
      <c r="M16" s="12" t="s">
        <v>125</v>
      </c>
      <c r="N16" s="15" t="s">
        <v>26</v>
      </c>
    </row>
    <row r="17" spans="1:14" ht="114" x14ac:dyDescent="0.3">
      <c r="A17" s="11" t="s">
        <v>126</v>
      </c>
      <c r="B17" s="11" t="s">
        <v>127</v>
      </c>
      <c r="C17" s="12" t="s">
        <v>128</v>
      </c>
      <c r="D17" s="11" t="s">
        <v>129</v>
      </c>
      <c r="E17" s="11" t="s">
        <v>165</v>
      </c>
      <c r="F17" s="11" t="s">
        <v>80</v>
      </c>
      <c r="G17" s="11">
        <v>5</v>
      </c>
      <c r="H17" s="11">
        <v>5</v>
      </c>
      <c r="I17" s="13">
        <v>25</v>
      </c>
      <c r="J17" s="25" t="s">
        <v>22</v>
      </c>
      <c r="K17" s="12" t="s">
        <v>130</v>
      </c>
      <c r="L17" s="11" t="s">
        <v>24</v>
      </c>
      <c r="M17" s="12" t="s">
        <v>131</v>
      </c>
      <c r="N17" s="15" t="s">
        <v>26</v>
      </c>
    </row>
    <row r="18" spans="1:14" ht="91.2" x14ac:dyDescent="0.3">
      <c r="A18" s="11" t="s">
        <v>132</v>
      </c>
      <c r="B18" s="11" t="s">
        <v>114</v>
      </c>
      <c r="C18" s="12" t="s">
        <v>133</v>
      </c>
      <c r="D18" s="11" t="s">
        <v>134</v>
      </c>
      <c r="E18" s="11" t="s">
        <v>20</v>
      </c>
      <c r="F18" s="11" t="s">
        <v>47</v>
      </c>
      <c r="G18" s="11">
        <v>5</v>
      </c>
      <c r="H18" s="11">
        <v>5</v>
      </c>
      <c r="I18" s="13">
        <v>25</v>
      </c>
      <c r="J18" s="25" t="s">
        <v>22</v>
      </c>
      <c r="K18" s="12" t="s">
        <v>135</v>
      </c>
      <c r="L18" s="11" t="s">
        <v>24</v>
      </c>
      <c r="M18" s="12" t="s">
        <v>136</v>
      </c>
      <c r="N18" s="15" t="s">
        <v>26</v>
      </c>
    </row>
    <row r="19" spans="1:14" ht="106.2" x14ac:dyDescent="0.3">
      <c r="A19" s="11" t="s">
        <v>137</v>
      </c>
      <c r="B19" s="11" t="s">
        <v>115</v>
      </c>
      <c r="C19" s="12" t="s">
        <v>138</v>
      </c>
      <c r="D19" s="11" t="s">
        <v>139</v>
      </c>
      <c r="E19" s="26" t="s">
        <v>87</v>
      </c>
      <c r="F19" s="26" t="s">
        <v>47</v>
      </c>
      <c r="G19" s="11">
        <v>5</v>
      </c>
      <c r="H19" s="11">
        <v>4</v>
      </c>
      <c r="I19" s="13">
        <v>20</v>
      </c>
      <c r="J19" s="27" t="s">
        <v>22</v>
      </c>
      <c r="K19" s="28" t="s">
        <v>140</v>
      </c>
      <c r="L19" s="26" t="s">
        <v>24</v>
      </c>
      <c r="M19" s="29" t="s">
        <v>141</v>
      </c>
      <c r="N19" s="30" t="s">
        <v>26</v>
      </c>
    </row>
    <row r="20" spans="1:14" ht="145.80000000000001" x14ac:dyDescent="0.3">
      <c r="A20" s="26" t="s">
        <v>142</v>
      </c>
      <c r="B20" s="26" t="s">
        <v>17</v>
      </c>
      <c r="C20" s="28" t="s">
        <v>143</v>
      </c>
      <c r="D20" s="26" t="s">
        <v>144</v>
      </c>
      <c r="E20" s="26" t="s">
        <v>87</v>
      </c>
      <c r="F20" s="26" t="s">
        <v>47</v>
      </c>
      <c r="G20" s="11">
        <v>5</v>
      </c>
      <c r="H20" s="11">
        <v>5</v>
      </c>
      <c r="I20" s="13">
        <v>25</v>
      </c>
      <c r="J20" s="27" t="s">
        <v>22</v>
      </c>
      <c r="K20" s="28" t="s">
        <v>145</v>
      </c>
      <c r="L20" s="26" t="s">
        <v>24</v>
      </c>
      <c r="M20" s="32" t="s">
        <v>146</v>
      </c>
      <c r="N20" s="30" t="s">
        <v>26</v>
      </c>
    </row>
    <row r="21" spans="1:14" ht="119.4" x14ac:dyDescent="0.3">
      <c r="A21" s="26" t="s">
        <v>147</v>
      </c>
      <c r="B21" s="26" t="s">
        <v>114</v>
      </c>
      <c r="C21" s="28" t="s">
        <v>148</v>
      </c>
      <c r="D21" s="26" t="s">
        <v>149</v>
      </c>
      <c r="E21" s="26" t="s">
        <v>20</v>
      </c>
      <c r="F21" s="26" t="s">
        <v>47</v>
      </c>
      <c r="G21" s="11">
        <v>5</v>
      </c>
      <c r="H21" s="11">
        <v>5</v>
      </c>
      <c r="I21" s="13">
        <v>25</v>
      </c>
      <c r="J21" s="27" t="s">
        <v>22</v>
      </c>
      <c r="K21" s="28" t="s">
        <v>150</v>
      </c>
      <c r="L21" s="26" t="s">
        <v>24</v>
      </c>
      <c r="M21" s="32" t="s">
        <v>151</v>
      </c>
      <c r="N21" s="30" t="s">
        <v>26</v>
      </c>
    </row>
    <row r="22" spans="1:14" ht="119.4" x14ac:dyDescent="0.3">
      <c r="A22" s="26" t="s">
        <v>152</v>
      </c>
      <c r="B22" s="26" t="s">
        <v>153</v>
      </c>
      <c r="C22" s="28" t="s">
        <v>154</v>
      </c>
      <c r="D22" s="26" t="s">
        <v>155</v>
      </c>
      <c r="E22" s="26" t="s">
        <v>87</v>
      </c>
      <c r="F22" s="26" t="s">
        <v>47</v>
      </c>
      <c r="G22" s="11">
        <v>5</v>
      </c>
      <c r="H22" s="11">
        <v>5</v>
      </c>
      <c r="I22" s="13">
        <v>25</v>
      </c>
      <c r="J22" s="27" t="s">
        <v>22</v>
      </c>
      <c r="K22" s="28" t="s">
        <v>156</v>
      </c>
      <c r="L22" s="26" t="s">
        <v>24</v>
      </c>
      <c r="M22" s="32" t="s">
        <v>157</v>
      </c>
      <c r="N22" s="30" t="s">
        <v>26</v>
      </c>
    </row>
    <row r="23" spans="1:14" ht="119.4" x14ac:dyDescent="0.3">
      <c r="A23" s="26" t="s">
        <v>158</v>
      </c>
      <c r="B23" s="26" t="s">
        <v>116</v>
      </c>
      <c r="C23" s="28" t="s">
        <v>159</v>
      </c>
      <c r="D23" s="26" t="s">
        <v>160</v>
      </c>
      <c r="E23" s="26" t="s">
        <v>163</v>
      </c>
      <c r="F23" s="26" t="s">
        <v>73</v>
      </c>
      <c r="G23" s="11">
        <v>5</v>
      </c>
      <c r="H23" s="11">
        <v>5</v>
      </c>
      <c r="I23" s="13">
        <v>25</v>
      </c>
      <c r="J23" s="27" t="s">
        <v>22</v>
      </c>
      <c r="K23" s="28" t="s">
        <v>161</v>
      </c>
      <c r="L23" s="26" t="s">
        <v>24</v>
      </c>
      <c r="M23" s="32" t="s">
        <v>162</v>
      </c>
      <c r="N23" s="30" t="s">
        <v>26</v>
      </c>
    </row>
    <row r="24" spans="1:14" x14ac:dyDescent="0.3">
      <c r="A24" s="16"/>
      <c r="B24" s="16"/>
      <c r="C24" s="16"/>
      <c r="D24" s="16"/>
      <c r="E24" s="16"/>
      <c r="F24" s="16"/>
      <c r="G24" s="16"/>
      <c r="H24" s="16"/>
      <c r="I24" s="16"/>
      <c r="J24" s="16"/>
      <c r="K24" s="16"/>
      <c r="L24" s="16"/>
      <c r="M24" s="16"/>
      <c r="N24" s="16"/>
    </row>
    <row r="25" spans="1:14" x14ac:dyDescent="0.3">
      <c r="A25" s="16"/>
      <c r="B25" s="16"/>
      <c r="C25" s="16"/>
      <c r="D25" s="16"/>
      <c r="E25" s="16"/>
      <c r="F25" s="16"/>
      <c r="G25" s="16"/>
      <c r="H25" s="16"/>
      <c r="I25" s="16"/>
      <c r="J25" s="16"/>
      <c r="K25" s="16"/>
      <c r="L25" s="16"/>
      <c r="M25" s="16"/>
      <c r="N25" s="16"/>
    </row>
    <row r="26" spans="1:14" x14ac:dyDescent="0.3">
      <c r="A26" s="16"/>
      <c r="B26" s="16"/>
      <c r="C26" s="16"/>
      <c r="D26" s="16"/>
      <c r="E26" s="16"/>
      <c r="F26" s="16"/>
      <c r="G26" s="16"/>
      <c r="H26" s="16"/>
      <c r="I26" s="16"/>
      <c r="J26" s="16"/>
      <c r="K26" s="16"/>
      <c r="L26" s="16"/>
      <c r="M26" s="16"/>
      <c r="N26" s="16"/>
    </row>
    <row r="27" spans="1:14" x14ac:dyDescent="0.3">
      <c r="A27" s="16"/>
      <c r="B27" s="16"/>
      <c r="C27" s="16"/>
      <c r="D27" s="16"/>
      <c r="E27" s="16"/>
      <c r="F27" s="16"/>
      <c r="G27" s="16"/>
      <c r="H27" s="16"/>
      <c r="I27" s="16"/>
      <c r="J27" s="16"/>
      <c r="K27" s="16"/>
      <c r="L27" s="16"/>
      <c r="M27" s="16"/>
      <c r="N27" s="16"/>
    </row>
    <row r="28" spans="1:14" x14ac:dyDescent="0.3">
      <c r="A28" s="16"/>
      <c r="B28" s="16"/>
      <c r="C28" s="16"/>
      <c r="D28" s="16"/>
      <c r="E28" s="16"/>
      <c r="F28" s="16"/>
      <c r="G28" s="16"/>
      <c r="H28" s="16"/>
      <c r="I28" s="16"/>
      <c r="J28" s="16"/>
      <c r="K28" s="16"/>
      <c r="L28" s="16"/>
      <c r="M28" s="16"/>
      <c r="N28" s="16"/>
    </row>
    <row r="29" spans="1:14" x14ac:dyDescent="0.3">
      <c r="A29" s="16"/>
      <c r="B29" s="16"/>
      <c r="C29" s="16"/>
      <c r="D29" s="16"/>
      <c r="E29" s="16"/>
      <c r="F29" s="16"/>
      <c r="G29" s="16"/>
      <c r="H29" s="16"/>
      <c r="I29" s="16"/>
      <c r="J29" s="16"/>
      <c r="K29" s="16"/>
      <c r="L29" s="16"/>
      <c r="M29" s="16"/>
      <c r="N29" s="16"/>
    </row>
    <row r="30" spans="1:14" x14ac:dyDescent="0.3">
      <c r="A30" s="16"/>
      <c r="B30" s="16"/>
      <c r="C30" s="16"/>
      <c r="D30" s="16"/>
      <c r="E30" s="16"/>
      <c r="F30" s="16"/>
      <c r="G30" s="16"/>
      <c r="H30" s="16"/>
      <c r="I30" s="16"/>
      <c r="J30" s="16"/>
      <c r="K30" s="16"/>
      <c r="L30" s="16"/>
      <c r="M30" s="16"/>
      <c r="N30" s="16"/>
    </row>
    <row r="31" spans="1:14" x14ac:dyDescent="0.3">
      <c r="A31" s="16"/>
      <c r="B31" s="16"/>
      <c r="C31" s="16"/>
      <c r="D31" s="16"/>
      <c r="E31" s="16"/>
      <c r="F31" s="16"/>
      <c r="G31" s="16"/>
      <c r="H31" s="16"/>
      <c r="I31" s="16"/>
      <c r="J31" s="16"/>
      <c r="K31" s="16"/>
      <c r="L31" s="16"/>
      <c r="M31" s="16"/>
      <c r="N31" s="16"/>
    </row>
    <row r="32" spans="1:14" x14ac:dyDescent="0.3">
      <c r="A32" s="16"/>
      <c r="B32" s="16"/>
      <c r="C32" s="16"/>
      <c r="D32" s="16"/>
      <c r="E32" s="16"/>
      <c r="F32" s="16"/>
      <c r="G32" s="16"/>
      <c r="H32" s="16"/>
      <c r="I32" s="16"/>
      <c r="J32" s="16"/>
      <c r="K32" s="16"/>
      <c r="L32" s="16"/>
      <c r="M32" s="16"/>
      <c r="N32" s="16"/>
    </row>
    <row r="33" spans="1:14" x14ac:dyDescent="0.3">
      <c r="A33" s="16"/>
      <c r="B33" s="16"/>
      <c r="C33" s="16"/>
      <c r="D33" s="16"/>
      <c r="E33" s="16"/>
      <c r="F33" s="16"/>
      <c r="G33" s="16"/>
      <c r="H33" s="16"/>
      <c r="I33" s="16"/>
      <c r="J33" s="16"/>
      <c r="K33" s="16"/>
      <c r="L33" s="16"/>
      <c r="M33" s="16"/>
      <c r="N33" s="16"/>
    </row>
    <row r="34" spans="1:14" x14ac:dyDescent="0.3">
      <c r="A34" s="16"/>
      <c r="B34" s="16"/>
      <c r="C34" s="16"/>
      <c r="D34" s="16"/>
      <c r="E34" s="16"/>
      <c r="F34" s="16"/>
      <c r="G34" s="16"/>
      <c r="H34" s="16"/>
      <c r="I34" s="16"/>
      <c r="J34" s="16"/>
      <c r="K34" s="16"/>
      <c r="L34" s="16"/>
      <c r="M34" s="16"/>
      <c r="N34" s="16"/>
    </row>
    <row r="35" spans="1:14" x14ac:dyDescent="0.3">
      <c r="A35" s="16"/>
      <c r="B35" s="16"/>
      <c r="C35" s="16"/>
      <c r="D35" s="16"/>
      <c r="E35" s="16"/>
      <c r="F35" s="16"/>
      <c r="G35" s="16"/>
      <c r="H35" s="16"/>
      <c r="I35" s="16"/>
      <c r="J35" s="16"/>
      <c r="K35" s="16"/>
      <c r="L35" s="16"/>
      <c r="M35" s="16"/>
      <c r="N35" s="16"/>
    </row>
    <row r="36" spans="1:14" x14ac:dyDescent="0.3">
      <c r="A36" s="16"/>
      <c r="B36" s="16"/>
      <c r="C36" s="16"/>
      <c r="D36" s="16"/>
      <c r="E36" s="16"/>
      <c r="F36" s="16"/>
      <c r="G36" s="16"/>
      <c r="H36" s="16"/>
      <c r="I36" s="16"/>
      <c r="J36" s="16"/>
      <c r="K36" s="16"/>
      <c r="L36" s="16"/>
      <c r="M36" s="16"/>
      <c r="N36" s="16"/>
    </row>
    <row r="37" spans="1:14" x14ac:dyDescent="0.3">
      <c r="A37" s="16"/>
      <c r="B37" s="16"/>
      <c r="C37" s="16"/>
      <c r="D37" s="16"/>
      <c r="E37" s="16"/>
      <c r="F37" s="16"/>
      <c r="G37" s="16"/>
      <c r="H37" s="16"/>
      <c r="I37" s="16"/>
      <c r="J37" s="16"/>
      <c r="K37" s="16"/>
      <c r="L37" s="16"/>
      <c r="M37" s="16"/>
      <c r="N37" s="16"/>
    </row>
    <row r="38" spans="1:14" x14ac:dyDescent="0.3">
      <c r="A38" s="16"/>
      <c r="B38" s="16"/>
      <c r="C38" s="16"/>
      <c r="D38" s="16"/>
      <c r="E38" s="16"/>
      <c r="F38" s="16"/>
      <c r="G38" s="16"/>
      <c r="H38" s="16"/>
      <c r="I38" s="16"/>
      <c r="J38" s="16"/>
      <c r="K38" s="16"/>
      <c r="L38" s="16"/>
      <c r="M38" s="16"/>
      <c r="N38" s="16"/>
    </row>
    <row r="39" spans="1:14" x14ac:dyDescent="0.3">
      <c r="A39" s="16"/>
      <c r="B39" s="16"/>
      <c r="C39" s="16"/>
      <c r="D39" s="16"/>
      <c r="E39" s="16"/>
      <c r="F39" s="16"/>
      <c r="G39" s="16"/>
      <c r="H39" s="16"/>
      <c r="I39" s="16"/>
      <c r="J39" s="16"/>
      <c r="K39" s="16"/>
      <c r="L39" s="16"/>
      <c r="M39" s="16"/>
      <c r="N39" s="16"/>
    </row>
  </sheetData>
  <mergeCells count="2">
    <mergeCell ref="A2:N2"/>
    <mergeCell ref="A1:N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tabSelected="1" workbookViewId="0">
      <selection activeCell="L5" sqref="L5"/>
    </sheetView>
  </sheetViews>
  <sheetFormatPr defaultRowHeight="14.4" x14ac:dyDescent="0.3"/>
  <cols>
    <col min="1" max="5" width="14" customWidth="1"/>
    <col min="6" max="6" width="16" customWidth="1"/>
  </cols>
  <sheetData>
    <row r="1" spans="1:6" ht="32.1" customHeight="1" x14ac:dyDescent="0.3">
      <c r="A1" s="36" t="s">
        <v>104</v>
      </c>
      <c r="B1" s="34"/>
      <c r="C1" s="34"/>
      <c r="D1" s="34"/>
      <c r="E1" s="34"/>
      <c r="F1" s="34"/>
    </row>
    <row r="2" spans="1:6" ht="18" customHeight="1" x14ac:dyDescent="0.3">
      <c r="A2" s="33" t="s">
        <v>105</v>
      </c>
      <c r="B2" s="34"/>
      <c r="C2" s="34"/>
      <c r="D2" s="34"/>
      <c r="E2" s="34"/>
      <c r="F2" s="34"/>
    </row>
    <row r="4" spans="1:6" ht="27.9" customHeight="1" x14ac:dyDescent="0.3">
      <c r="A4" s="1" t="s">
        <v>106</v>
      </c>
      <c r="B4" s="1" t="s">
        <v>107</v>
      </c>
      <c r="C4" s="1" t="s">
        <v>108</v>
      </c>
      <c r="D4" s="1" t="s">
        <v>109</v>
      </c>
      <c r="E4" s="1" t="s">
        <v>34</v>
      </c>
      <c r="F4" s="1" t="s">
        <v>110</v>
      </c>
    </row>
    <row r="5" spans="1:6" ht="24" customHeight="1" x14ac:dyDescent="0.3">
      <c r="A5" s="2" t="s">
        <v>22</v>
      </c>
      <c r="B5" s="3">
        <f>COUNTIF('Risk Register'!J:J,A5)</f>
        <v>13</v>
      </c>
      <c r="C5" s="4">
        <f>IF(B5=0,0,B5/SUM($B$5:$B$8))</f>
        <v>0.65</v>
      </c>
      <c r="D5" s="3">
        <f>COUNTIFS('Risk Register'!J:J,A5,'Risk Register'!N:N,"Open")</f>
        <v>12</v>
      </c>
      <c r="E5" s="3">
        <f>COUNTIFS('Risk Register'!J:J,A5,'Risk Register'!N:N,"In Progress")</f>
        <v>1</v>
      </c>
      <c r="F5" s="5">
        <f>IFERROR(AVERAGEIF('Risk Register'!J:J,A5,'Risk Register'!I:I),0)</f>
        <v>21.23076923076923</v>
      </c>
    </row>
    <row r="6" spans="1:6" ht="24" customHeight="1" x14ac:dyDescent="0.3">
      <c r="A6" s="6" t="s">
        <v>56</v>
      </c>
      <c r="B6" s="3">
        <f>COUNTIF('Risk Register'!J:J,A6)</f>
        <v>4</v>
      </c>
      <c r="C6" s="4">
        <f>IF(B6=0,0,B6/SUM($B$5:$B$8))</f>
        <v>0.2</v>
      </c>
      <c r="D6" s="3">
        <f>COUNTIFS('Risk Register'!J:J,A6,'Risk Register'!N:N,"Open")</f>
        <v>3</v>
      </c>
      <c r="E6" s="3">
        <f>COUNTIFS('Risk Register'!J:J,A6,'Risk Register'!N:N,"In Progress")</f>
        <v>1</v>
      </c>
      <c r="F6" s="5">
        <f>IFERROR(AVERAGEIF('Risk Register'!J:J,A6,'Risk Register'!I:I),0)</f>
        <v>12</v>
      </c>
    </row>
    <row r="7" spans="1:6" ht="24" customHeight="1" x14ac:dyDescent="0.3">
      <c r="A7" s="7" t="s">
        <v>64</v>
      </c>
      <c r="B7" s="3">
        <f>COUNTIF('Risk Register'!J:J,A7)</f>
        <v>3</v>
      </c>
      <c r="C7" s="4">
        <f>IF(B7=0,0,B7/SUM($B$5:$B$8))</f>
        <v>0.15</v>
      </c>
      <c r="D7" s="3">
        <f>COUNTIFS('Risk Register'!J:J,A7,'Risk Register'!N:N,"Open")</f>
        <v>1</v>
      </c>
      <c r="E7" s="3">
        <f>COUNTIFS('Risk Register'!J:J,A7,'Risk Register'!N:N,"In Progress")</f>
        <v>1</v>
      </c>
      <c r="F7" s="5">
        <f>IFERROR(AVERAGEIF('Risk Register'!J:J,A7,'Risk Register'!I:I),0)</f>
        <v>8.3333333333333339</v>
      </c>
    </row>
    <row r="8" spans="1:6" ht="24" customHeight="1" x14ac:dyDescent="0.3">
      <c r="A8" s="8" t="s">
        <v>111</v>
      </c>
      <c r="B8" s="3">
        <f>COUNTIF('Risk Register'!J:J,A8)</f>
        <v>0</v>
      </c>
      <c r="C8" s="4">
        <f>IF(B8=0,0,B8/SUM($B$5:$B$8))</f>
        <v>0</v>
      </c>
      <c r="D8" s="3">
        <f>COUNTIFS('Risk Register'!J:J,A8,'Risk Register'!N:N,"Open")</f>
        <v>0</v>
      </c>
      <c r="E8" s="3">
        <f>COUNTIFS('Risk Register'!J:J,A8,'Risk Register'!N:N,"In Progress")</f>
        <v>0</v>
      </c>
      <c r="F8" s="5">
        <f>IFERROR(AVERAGEIF('Risk Register'!J:J,A8,'Risk Register'!I:I),0)</f>
        <v>0</v>
      </c>
    </row>
    <row r="9" spans="1:6" ht="24" customHeight="1" x14ac:dyDescent="0.3">
      <c r="A9" s="1" t="s">
        <v>112</v>
      </c>
      <c r="B9" s="1">
        <f>SUM(B5:B8)</f>
        <v>20</v>
      </c>
      <c r="C9" s="9">
        <f>SUM(C5:C8)</f>
        <v>1</v>
      </c>
      <c r="D9" s="1">
        <f>SUM(D5:D8)</f>
        <v>16</v>
      </c>
      <c r="E9" s="1">
        <f>SUM(E5:E8)</f>
        <v>3</v>
      </c>
      <c r="F9" s="10">
        <f>IFERROR(AVERAGEIF('Risk Register'!J:J,"&lt;&gt;"&amp;"",'Risk Register'!I:I),0)</f>
        <v>17.45</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 Register</vt:lpstr>
      <vt:lpstr>Risk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Kapil Chaudhary</cp:lastModifiedBy>
  <dcterms:created xsi:type="dcterms:W3CDTF">2026-06-14T17:29:16Z</dcterms:created>
  <dcterms:modified xsi:type="dcterms:W3CDTF">2026-06-17T21:16:39Z</dcterms:modified>
</cp:coreProperties>
</file>